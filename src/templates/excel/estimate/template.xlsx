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filterPrivacy="1" defaultThemeVersion="124226"/>
  <xr:revisionPtr revIDLastSave="0" documentId="13_ncr:1_{370C8E4F-7EA0-3F47-BB07-33BCEAD5892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견적서" sheetId="1" r:id="rId1"/>
    <sheet name="Sheet1" sheetId="3" r:id="rId2"/>
  </sheets>
  <definedNames>
    <definedName name="_xlnm.Print_Area" localSheetId="0">견적서!$B1:$AH38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X18" i="1"/>
  <c r="X19" i="1"/>
  <c r="X20" i="1"/>
  <c r="X28" i="1"/>
  <c r="X27" i="1"/>
  <c r="X24" i="1"/>
  <c r="X23" i="1"/>
  <c r="X22" i="1"/>
  <c r="X21" i="1"/>
  <c r="X25" i="1" l="1"/>
  <c r="X29" i="1" s="1"/>
  <c r="Y38" i="1" s="1"/>
  <c r="O14" i="1"/>
  <c r="Q15" i="1" l="1"/>
</calcChain>
</file>

<file path=xl/sharedStrings.xml><?xml version="1.0" encoding="utf-8"?>
<sst xmlns="http://schemas.openxmlformats.org/spreadsheetml/2006/main" count="44" uniqueCount="44">
  <si>
    <t>견적서</t>
  </si>
  <si>
    <t>공
급
자</t>
  </si>
  <si>
    <t>사 업 자</t>
  </si>
  <si>
    <t>등록번호</t>
  </si>
  <si>
    <t>상   호</t>
  </si>
  <si>
    <t>팜앤몰드</t>
  </si>
  <si>
    <t>이 건 영</t>
  </si>
  <si>
    <t>사 업 장</t>
  </si>
  <si>
    <t>경기도 안양시 동안구 흥안대로457-27 에이스하이테크 1105호</t>
  </si>
  <si>
    <t>소 재 지</t>
  </si>
  <si>
    <t>업태/종목</t>
  </si>
  <si>
    <t>제조업</t>
  </si>
  <si>
    <t>플라스틱 성형</t>
  </si>
  <si>
    <t>전화/FAX</t>
  </si>
  <si>
    <t>(031)381-5147</t>
  </si>
  <si>
    <t>(0504)475-5147</t>
  </si>
  <si>
    <t>Mail</t>
  </si>
  <si>
    <t>ph-mold@hanmail.net</t>
  </si>
  <si>
    <t>아래와 같이 견적합니다.</t>
  </si>
  <si>
    <t>합계금액:</t>
  </si>
  <si>
    <t xml:space="preserve"> (</t>
  </si>
  <si>
    <t>)</t>
  </si>
  <si>
    <t>(단위:원 / V.A.T 별도 )</t>
  </si>
  <si>
    <t>품     명</t>
  </si>
  <si>
    <t>규   격</t>
  </si>
  <si>
    <t>단위</t>
  </si>
  <si>
    <t>단   가</t>
  </si>
  <si>
    <t>수량</t>
  </si>
  <si>
    <t>금액</t>
  </si>
  <si>
    <t>비고</t>
  </si>
  <si>
    <t/>
  </si>
  <si>
    <t>소계</t>
  </si>
  <si>
    <t>계</t>
  </si>
  <si>
    <t>1.제작소요기간은 주문 발주 후 3주(21일) 예상됩니다.</t>
  </si>
  <si>
    <t>2.주문발주시에는 계약선수금 50%를 지정계좌에 입금하시면 작업진행이 시작되며 완성품 컨펌 후 잔금 입금</t>
  </si>
  <si>
    <t xml:space="preserve">  하면 됩니다.</t>
  </si>
  <si>
    <t>팜앤몰드   기업은행  065-109912-01-012</t>
  </si>
  <si>
    <t>합계</t>
  </si>
  <si>
    <t xml:space="preserve">발신일 : </t>
    <phoneticPr fontId="15" type="noConversion"/>
  </si>
  <si>
    <t xml:space="preserve">수   신 :  </t>
    <phoneticPr fontId="15" type="noConversion"/>
  </si>
  <si>
    <t xml:space="preserve">담당자 : </t>
    <phoneticPr fontId="15" type="noConversion"/>
  </si>
  <si>
    <t xml:space="preserve">e-mail: </t>
    <phoneticPr fontId="15" type="noConversion"/>
  </si>
  <si>
    <t xml:space="preserve">연락처 : </t>
    <phoneticPr fontId="15" type="noConversion"/>
  </si>
  <si>
    <t>6 1 8 - 8 8 - 0 3 4 8 4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</si>
</sst>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&quot;@&quot;General"/>
    <numFmt numFmtId="178" formatCode="_-* #,##0_-;\-* #,##0_-;_-* &quot;-&quot;_-;_-@_-"/>
    <numFmt numFmtId="179" formatCode="&quot;₩&quot;#,##0;[Red]\-&quot;₩&quot;#,##0"/>
  </numFmts>
  <fonts count="16"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3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76" fontId="6" fillId="2" borderId="10" xfId="0" applyNumberFormat="1" applyFont="1" applyFill="1" applyBorder="1"/>
    <xf numFmtId="176" fontId="6" fillId="2" borderId="11" xfId="0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5" xfId="0" applyFont="1" applyFill="1" applyBorder="1" applyAlignment="1">
      <alignment vertical="center"/>
    </xf>
    <xf numFmtId="179" fontId="9" fillId="2" borderId="0" xfId="0" applyNumberFormat="1" applyFont="1" applyFill="1" applyAlignment="1">
      <alignment vertical="center"/>
    </xf>
    <xf numFmtId="179" fontId="9" fillId="2" borderId="5" xfId="0" applyNumberFormat="1" applyFont="1" applyFill="1" applyBorder="1" applyAlignment="1">
      <alignment vertical="center"/>
    </xf>
    <xf numFmtId="0" fontId="1" fillId="2" borderId="0" xfId="0" applyFont="1" applyFill="1"/>
    <xf numFmtId="0" fontId="11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176" fontId="6" fillId="2" borderId="10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right"/>
    </xf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77" fontId="9" fillId="2" borderId="9" xfId="0" applyNumberFormat="1" applyFont="1" applyFill="1" applyBorder="1" applyAlignment="1">
      <alignment horizontal="center" vertical="center"/>
    </xf>
    <xf numFmtId="177" fontId="9" fillId="2" borderId="10" xfId="0" applyNumberFormat="1" applyFont="1" applyFill="1" applyBorder="1" applyAlignment="1">
      <alignment horizontal="center" vertical="center"/>
    </xf>
    <xf numFmtId="177" fontId="9" fillId="2" borderId="11" xfId="0" applyNumberFormat="1" applyFont="1" applyFill="1" applyBorder="1" applyAlignment="1">
      <alignment horizontal="center" vertical="center"/>
    </xf>
    <xf numFmtId="178" fontId="9" fillId="2" borderId="9" xfId="0" applyNumberFormat="1" applyFont="1" applyFill="1" applyBorder="1" applyAlignment="1">
      <alignment horizontal="center" vertical="center"/>
    </xf>
    <xf numFmtId="178" fontId="9" fillId="2" borderId="10" xfId="0" applyNumberFormat="1" applyFont="1" applyFill="1" applyBorder="1" applyAlignment="1">
      <alignment horizontal="center" vertical="center"/>
    </xf>
    <xf numFmtId="178" fontId="9" fillId="2" borderId="11" xfId="0" applyNumberFormat="1" applyFont="1" applyFill="1" applyBorder="1" applyAlignment="1">
      <alignment horizontal="center" vertical="center"/>
    </xf>
    <xf numFmtId="178" fontId="7" fillId="2" borderId="9" xfId="0" applyNumberFormat="1" applyFont="1" applyFill="1" applyBorder="1" applyAlignment="1">
      <alignment horizontal="center" vertical="center" wrapText="1"/>
    </xf>
    <xf numFmtId="178" fontId="7" fillId="2" borderId="10" xfId="0" applyNumberFormat="1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9" fontId="7" fillId="2" borderId="10" xfId="0" applyNumberFormat="1" applyFont="1" applyFill="1" applyBorder="1" applyAlignment="1">
      <alignment horizontal="center" vertical="center" wrapText="1"/>
    </xf>
    <xf numFmtId="179" fontId="7" fillId="2" borderId="1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79" fontId="13" fillId="2" borderId="9" xfId="0" applyNumberFormat="1" applyFont="1" applyFill="1" applyBorder="1" applyAlignment="1">
      <alignment horizontal="center" vertical="center" wrapText="1"/>
    </xf>
    <xf numFmtId="179" fontId="13" fillId="2" borderId="10" xfId="0" applyNumberFormat="1" applyFont="1" applyFill="1" applyBorder="1" applyAlignment="1">
      <alignment horizontal="center" vertical="center" wrapText="1"/>
    </xf>
    <xf numFmtId="179" fontId="13" fillId="2" borderId="1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77" fontId="9" fillId="4" borderId="9" xfId="0" applyNumberFormat="1" applyFont="1" applyFill="1" applyBorder="1" applyAlignment="1">
      <alignment horizontal="center" vertical="center"/>
    </xf>
    <xf numFmtId="177" fontId="9" fillId="4" borderId="10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/>
    </xf>
    <xf numFmtId="178" fontId="9" fillId="4" borderId="10" xfId="0" applyNumberFormat="1" applyFont="1" applyFill="1" applyBorder="1" applyAlignment="1">
      <alignment horizontal="center" vertical="center"/>
    </xf>
    <xf numFmtId="178" fontId="9" fillId="4" borderId="11" xfId="0" applyNumberFormat="1" applyFont="1" applyFill="1" applyBorder="1" applyAlignment="1">
      <alignment horizontal="center" vertical="center"/>
    </xf>
    <xf numFmtId="178" fontId="7" fillId="4" borderId="9" xfId="0" applyNumberFormat="1" applyFont="1" applyFill="1" applyBorder="1" applyAlignment="1">
      <alignment horizontal="center" vertical="center" wrapText="1"/>
    </xf>
    <xf numFmtId="178" fontId="7" fillId="4" borderId="10" xfId="0" applyNumberFormat="1" applyFont="1" applyFill="1" applyBorder="1" applyAlignment="1">
      <alignment horizontal="center" vertical="center" wrapText="1"/>
    </xf>
    <xf numFmtId="178" fontId="7" fillId="4" borderId="11" xfId="0" applyNumberFormat="1" applyFont="1" applyFill="1" applyBorder="1" applyAlignment="1">
      <alignment horizontal="center" vertical="center" wrapText="1"/>
    </xf>
    <xf numFmtId="179" fontId="7" fillId="4" borderId="10" xfId="0" applyNumberFormat="1" applyFont="1" applyFill="1" applyBorder="1" applyAlignment="1">
      <alignment horizontal="center" vertical="center" wrapText="1"/>
    </xf>
    <xf numFmtId="179" fontId="7" fillId="4" borderId="1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 wrapText="1"/>
    </xf>
    <xf numFmtId="178" fontId="7" fillId="0" borderId="10" xfId="0" applyNumberFormat="1" applyFont="1" applyBorder="1" applyAlignment="1">
      <alignment horizontal="center" vertical="center" wrapText="1"/>
    </xf>
    <xf numFmtId="178" fontId="7" fillId="0" borderId="11" xfId="0" applyNumberFormat="1" applyFont="1" applyBorder="1" applyAlignment="1">
      <alignment horizontal="center" vertical="center" wrapText="1"/>
    </xf>
    <xf numFmtId="179" fontId="7" fillId="0" borderId="10" xfId="0" applyNumberFormat="1" applyFont="1" applyBorder="1" applyAlignment="1">
      <alignment horizontal="center" vertical="center" wrapText="1"/>
    </xf>
    <xf numFmtId="179" fontId="7" fillId="0" borderId="11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8" fontId="9" fillId="0" borderId="13" xfId="0" applyNumberFormat="1" applyFont="1" applyBorder="1" applyAlignment="1">
      <alignment horizontal="center" vertical="center"/>
    </xf>
    <xf numFmtId="178" fontId="9" fillId="0" borderId="14" xfId="0" applyNumberFormat="1" applyFont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178" fontId="7" fillId="0" borderId="13" xfId="0" applyNumberFormat="1" applyFont="1" applyBorder="1" applyAlignment="1">
      <alignment horizontal="center" vertical="center" wrapText="1"/>
    </xf>
    <xf numFmtId="178" fontId="7" fillId="0" borderId="14" xfId="0" applyNumberFormat="1" applyFont="1" applyBorder="1" applyAlignment="1">
      <alignment horizontal="center" vertical="center" wrapText="1"/>
    </xf>
    <xf numFmtId="179" fontId="7" fillId="0" borderId="13" xfId="0" applyNumberFormat="1" applyFont="1" applyBorder="1" applyAlignment="1">
      <alignment horizontal="center" vertical="center" wrapText="1"/>
    </xf>
    <xf numFmtId="179" fontId="7" fillId="0" borderId="14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8" fontId="7" fillId="0" borderId="15" xfId="0" applyNumberFormat="1" applyFont="1" applyBorder="1" applyAlignment="1">
      <alignment horizontal="center" vertical="center" wrapText="1"/>
    </xf>
    <xf numFmtId="179" fontId="7" fillId="0" borderId="16" xfId="0" applyNumberFormat="1" applyFont="1" applyBorder="1" applyAlignment="1">
      <alignment horizontal="center" vertical="center" wrapText="1"/>
    </xf>
    <xf numFmtId="179" fontId="7" fillId="0" borderId="17" xfId="0" applyNumberFormat="1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180976</xdr:colOff>
      <xdr:row>4</xdr:row>
      <xdr:rowOff>85725</xdr:rowOff>
    </xdr:from>
    <xdr:to>
      <xdr:col>33</xdr:col>
      <xdr:colOff>35598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h-mold@hanmai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0"/>
  <sheetViews>
    <sheetView tabSelected="1" zoomScale="164" zoomScaleNormal="164" workbookViewId="0">
      <selection activeCell="AL10" sqref="AL10"/>
    </sheetView>
  </sheetViews>
  <sheetFormatPr baseColWidth="10" defaultColWidth="9" defaultRowHeight="17" customHeight="1"/>
  <cols>
    <col min="1" max="1" width="1.6640625" style="1" customWidth="1"/>
    <col min="2" max="10" width="2.6640625" style="1" customWidth="1"/>
    <col min="11" max="11" width="4.6640625" style="1" customWidth="1"/>
    <col min="12" max="12" width="3.33203125" style="1" customWidth="1"/>
    <col min="13" max="13" width="4" style="1" customWidth="1"/>
    <col min="14" max="14" width="4.83203125" style="1" customWidth="1"/>
    <col min="15" max="20" width="2.6640625" style="1" customWidth="1"/>
    <col min="21" max="21" width="3.6640625" style="1" customWidth="1"/>
    <col min="22" max="23" width="3.33203125" style="1" customWidth="1"/>
    <col min="24" max="33" width="2.6640625" style="1" customWidth="1"/>
    <col min="34" max="34" width="4.1640625" style="1" customWidth="1"/>
    <col min="35" max="40" width="2.6640625" style="1" customWidth="1"/>
    <col min="41" max="42" width="2.6640625" style="2" customWidth="1"/>
    <col min="43" max="43" width="9" style="2" customWidth="1"/>
    <col min="44" max="16384" width="9" style="2"/>
  </cols>
  <sheetData>
    <row r="1" spans="1:40" ht="14.25" customHeight="1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40" s="6" customFormat="1" ht="33.75" customHeight="1">
      <c r="A2" s="7"/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6"/>
      <c r="AI2" s="7"/>
      <c r="AJ2" s="8"/>
      <c r="AK2" s="8"/>
      <c r="AL2" s="8"/>
      <c r="AM2" s="8"/>
      <c r="AN2" s="8"/>
    </row>
    <row r="3" spans="1:40" s="6" customFormat="1" ht="25.5" customHeight="1">
      <c r="A3" s="8"/>
      <c r="B3" s="9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10"/>
      <c r="AI3" s="8"/>
      <c r="AJ3" s="8"/>
      <c r="AK3" s="8"/>
      <c r="AL3" s="8"/>
      <c r="AM3" s="8"/>
      <c r="AN3" s="8"/>
    </row>
    <row r="4" spans="1:40" ht="15" customHeight="1">
      <c r="B4" s="37" t="s">
        <v>38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R4" s="39" t="s">
        <v>1</v>
      </c>
      <c r="S4" s="39"/>
      <c r="T4" s="40" t="s">
        <v>2</v>
      </c>
      <c r="U4" s="40"/>
      <c r="V4" s="40"/>
      <c r="W4" s="41" t="s">
        <v>43</v>
      </c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</row>
    <row r="5" spans="1:40" ht="15" customHeight="1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R5" s="39"/>
      <c r="S5" s="39"/>
      <c r="T5" s="42" t="s">
        <v>3</v>
      </c>
      <c r="U5" s="42"/>
      <c r="V5" s="42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</row>
    <row r="6" spans="1:40" ht="25" customHeight="1">
      <c r="B6" s="11"/>
      <c r="R6" s="39"/>
      <c r="S6" s="39"/>
      <c r="T6" s="43" t="s">
        <v>4</v>
      </c>
      <c r="U6" s="43"/>
      <c r="V6" s="43"/>
      <c r="W6" s="44" t="s">
        <v>5</v>
      </c>
      <c r="X6" s="44"/>
      <c r="Y6" s="44"/>
      <c r="Z6" s="44"/>
      <c r="AA6" s="44"/>
      <c r="AB6" s="44"/>
      <c r="AC6" s="45" t="s">
        <v>6</v>
      </c>
      <c r="AD6" s="45"/>
      <c r="AE6" s="45"/>
      <c r="AF6" s="45"/>
      <c r="AG6" s="45"/>
      <c r="AH6" s="45"/>
    </row>
    <row r="7" spans="1:40" ht="15" customHeight="1">
      <c r="B7" s="37" t="s">
        <v>39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R7" s="39"/>
      <c r="S7" s="39"/>
      <c r="T7" s="40" t="s">
        <v>7</v>
      </c>
      <c r="U7" s="40"/>
      <c r="V7" s="40"/>
      <c r="W7" s="46" t="s">
        <v>8</v>
      </c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 spans="1:40" ht="15" customHeight="1"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R8" s="39"/>
      <c r="S8" s="39"/>
      <c r="T8" s="42" t="s">
        <v>9</v>
      </c>
      <c r="U8" s="42"/>
      <c r="V8" s="42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 spans="1:40" ht="35" customHeight="1">
      <c r="B9" s="37" t="s">
        <v>40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R9" s="39"/>
      <c r="S9" s="39"/>
      <c r="T9" s="43" t="s">
        <v>10</v>
      </c>
      <c r="U9" s="43"/>
      <c r="V9" s="43"/>
      <c r="W9" s="46" t="s">
        <v>11</v>
      </c>
      <c r="X9" s="47"/>
      <c r="Y9" s="47"/>
      <c r="Z9" s="47"/>
      <c r="AA9" s="47"/>
      <c r="AB9" s="47"/>
      <c r="AC9" s="46" t="s">
        <v>12</v>
      </c>
      <c r="AD9" s="47"/>
      <c r="AE9" s="47"/>
      <c r="AF9" s="47"/>
      <c r="AG9" s="47"/>
      <c r="AH9" s="47"/>
    </row>
    <row r="10" spans="1:40" ht="25" customHeight="1">
      <c r="B10" s="48" t="s">
        <v>41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R10" s="39"/>
      <c r="S10" s="39"/>
      <c r="T10" s="43" t="s">
        <v>13</v>
      </c>
      <c r="U10" s="43"/>
      <c r="V10" s="43"/>
      <c r="W10" s="44" t="s">
        <v>14</v>
      </c>
      <c r="X10" s="44"/>
      <c r="Y10" s="44"/>
      <c r="Z10" s="44"/>
      <c r="AA10" s="44"/>
      <c r="AB10" s="44"/>
      <c r="AC10" s="44" t="s">
        <v>15</v>
      </c>
      <c r="AD10" s="44"/>
      <c r="AE10" s="44"/>
      <c r="AF10" s="44"/>
      <c r="AG10" s="44"/>
      <c r="AH10" s="44"/>
    </row>
    <row r="11" spans="1:40" ht="25" customHeight="1">
      <c r="B11" s="48" t="s">
        <v>42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R11" s="39"/>
      <c r="S11" s="39"/>
      <c r="T11" s="43" t="s">
        <v>16</v>
      </c>
      <c r="U11" s="43"/>
      <c r="V11" s="43"/>
      <c r="W11" s="50" t="s">
        <v>17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</row>
    <row r="12" spans="1:40" ht="10" customHeight="1">
      <c r="B12" s="11"/>
      <c r="AH12" s="12"/>
    </row>
    <row r="13" spans="1:40" ht="19.5" customHeight="1">
      <c r="B13" s="52" t="s">
        <v>18</v>
      </c>
      <c r="C13" s="53"/>
      <c r="D13" s="53"/>
      <c r="E13" s="53"/>
      <c r="F13" s="53"/>
      <c r="G13" s="53"/>
      <c r="H13" s="53"/>
      <c r="I13" s="53"/>
      <c r="J13" s="53"/>
      <c r="K13" s="53"/>
      <c r="AA13" s="13"/>
      <c r="AB13" s="13"/>
      <c r="AC13" s="13"/>
      <c r="AD13" s="13"/>
      <c r="AE13" s="13"/>
      <c r="AF13" s="13"/>
      <c r="AG13" s="13"/>
      <c r="AH13" s="14"/>
    </row>
    <row r="14" spans="1:40" ht="3.75" customHeight="1">
      <c r="B14" s="11"/>
      <c r="O14" s="1">
        <f>SUM(X17:X20)</f>
        <v>0</v>
      </c>
      <c r="AH14" s="12"/>
    </row>
    <row r="15" spans="1:40" ht="30" customHeight="1">
      <c r="B15" s="54" t="s">
        <v>19</v>
      </c>
      <c r="C15" s="55"/>
      <c r="D15" s="55"/>
      <c r="E15" s="56"/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15" t="s">
        <v>20</v>
      </c>
      <c r="Q15" s="57">
        <f>X29</f>
        <v>0</v>
      </c>
      <c r="R15" s="57"/>
      <c r="S15" s="57"/>
      <c r="T15" s="57"/>
      <c r="U15" s="57"/>
      <c r="V15" s="57"/>
      <c r="W15" s="57"/>
      <c r="X15" s="15" t="s">
        <v>21</v>
      </c>
      <c r="Y15" s="15"/>
      <c r="Z15" s="15"/>
      <c r="AA15" s="16"/>
      <c r="AB15" s="58" t="s">
        <v>22</v>
      </c>
      <c r="AC15" s="59"/>
      <c r="AD15" s="59"/>
      <c r="AE15" s="59"/>
      <c r="AF15" s="59"/>
      <c r="AG15" s="59"/>
      <c r="AH15" s="60"/>
    </row>
    <row r="16" spans="1:40" s="17" customFormat="1" ht="24" customHeight="1">
      <c r="A16" s="18"/>
      <c r="B16" s="61" t="s">
        <v>23</v>
      </c>
      <c r="C16" s="61"/>
      <c r="D16" s="61"/>
      <c r="E16" s="61"/>
      <c r="F16" s="61"/>
      <c r="G16" s="61"/>
      <c r="H16" s="61"/>
      <c r="I16" s="61"/>
      <c r="J16" s="61"/>
      <c r="K16" s="61" t="s">
        <v>24</v>
      </c>
      <c r="L16" s="61"/>
      <c r="M16" s="61"/>
      <c r="N16" s="61"/>
      <c r="O16" s="61" t="s">
        <v>25</v>
      </c>
      <c r="P16" s="61"/>
      <c r="Q16" s="62" t="s">
        <v>26</v>
      </c>
      <c r="R16" s="63"/>
      <c r="S16" s="63"/>
      <c r="T16" s="64"/>
      <c r="U16" s="63" t="s">
        <v>27</v>
      </c>
      <c r="V16" s="63"/>
      <c r="W16" s="64"/>
      <c r="X16" s="62" t="s">
        <v>28</v>
      </c>
      <c r="Y16" s="63"/>
      <c r="Z16" s="63"/>
      <c r="AA16" s="63"/>
      <c r="AB16" s="64"/>
      <c r="AC16" s="63" t="s">
        <v>29</v>
      </c>
      <c r="AD16" s="63"/>
      <c r="AE16" s="63"/>
      <c r="AF16" s="63"/>
      <c r="AG16" s="63"/>
      <c r="AH16" s="64"/>
      <c r="AI16" s="18"/>
      <c r="AJ16" s="18"/>
      <c r="AK16" s="18"/>
      <c r="AL16" s="18"/>
      <c r="AM16" s="18"/>
      <c r="AN16" s="18"/>
    </row>
    <row r="17" spans="1:40" s="17" customFormat="1" ht="27" customHeight="1">
      <c r="A17" s="18"/>
      <c r="B17" s="65"/>
      <c r="C17" s="66"/>
      <c r="D17" s="66"/>
      <c r="E17" s="66"/>
      <c r="F17" s="66"/>
      <c r="G17" s="66"/>
      <c r="H17" s="66"/>
      <c r="I17" s="66"/>
      <c r="J17" s="67"/>
      <c r="K17" s="65"/>
      <c r="L17" s="66"/>
      <c r="M17" s="66"/>
      <c r="N17" s="67"/>
      <c r="O17" s="65"/>
      <c r="P17" s="67"/>
      <c r="Q17" s="68"/>
      <c r="R17" s="69"/>
      <c r="S17" s="69"/>
      <c r="T17" s="70"/>
      <c r="U17" s="71"/>
      <c r="V17" s="72"/>
      <c r="W17" s="73"/>
      <c r="X17" s="74">
        <f>Q17*U17</f>
        <v>0</v>
      </c>
      <c r="Y17" s="75"/>
      <c r="Z17" s="75"/>
      <c r="AA17" s="75"/>
      <c r="AB17" s="76"/>
      <c r="AC17" s="77"/>
      <c r="AD17" s="77"/>
      <c r="AE17" s="77"/>
      <c r="AF17" s="77"/>
      <c r="AG17" s="77"/>
      <c r="AH17" s="78"/>
      <c r="AI17" s="19"/>
      <c r="AJ17" s="19"/>
      <c r="AK17" s="19"/>
      <c r="AL17" s="18"/>
      <c r="AM17" s="18"/>
      <c r="AN17" s="18"/>
    </row>
    <row r="18" spans="1:40" s="17" customFormat="1" ht="27" customHeight="1">
      <c r="A18" s="18"/>
      <c r="B18" s="79"/>
      <c r="C18" s="80"/>
      <c r="D18" s="80"/>
      <c r="E18" s="80"/>
      <c r="F18" s="80"/>
      <c r="G18" s="80"/>
      <c r="H18" s="80"/>
      <c r="I18" s="80"/>
      <c r="J18" s="81"/>
      <c r="K18" s="65"/>
      <c r="L18" s="66"/>
      <c r="M18" s="66"/>
      <c r="N18" s="67"/>
      <c r="O18" s="79"/>
      <c r="P18" s="81"/>
      <c r="Q18" s="68"/>
      <c r="R18" s="69"/>
      <c r="S18" s="69"/>
      <c r="T18" s="70"/>
      <c r="U18" s="72"/>
      <c r="V18" s="72"/>
      <c r="W18" s="73"/>
      <c r="X18" s="74">
        <f>Q18*U18</f>
        <v>0</v>
      </c>
      <c r="Y18" s="75"/>
      <c r="Z18" s="75"/>
      <c r="AA18" s="75"/>
      <c r="AB18" s="76"/>
      <c r="AC18" s="77" t="s">
        <v>30</v>
      </c>
      <c r="AD18" s="77"/>
      <c r="AE18" s="77"/>
      <c r="AF18" s="77"/>
      <c r="AG18" s="77"/>
      <c r="AH18" s="78"/>
      <c r="AI18" s="18"/>
      <c r="AJ18" s="18"/>
      <c r="AK18" s="18"/>
      <c r="AL18" s="18"/>
      <c r="AM18" s="18"/>
      <c r="AN18" s="18"/>
    </row>
    <row r="19" spans="1:40" s="17" customFormat="1" ht="27" customHeight="1">
      <c r="A19" s="18"/>
      <c r="B19" s="79"/>
      <c r="C19" s="80"/>
      <c r="D19" s="80"/>
      <c r="E19" s="80"/>
      <c r="F19" s="80"/>
      <c r="G19" s="80"/>
      <c r="H19" s="80"/>
      <c r="I19" s="80"/>
      <c r="J19" s="81"/>
      <c r="K19" s="65"/>
      <c r="L19" s="66"/>
      <c r="M19" s="66"/>
      <c r="N19" s="67"/>
      <c r="O19" s="65"/>
      <c r="P19" s="67"/>
      <c r="Q19" s="68"/>
      <c r="R19" s="69"/>
      <c r="S19" s="69"/>
      <c r="T19" s="70"/>
      <c r="U19" s="71"/>
      <c r="V19" s="72"/>
      <c r="W19" s="73"/>
      <c r="X19" s="74">
        <f>Q19*U19</f>
        <v>0</v>
      </c>
      <c r="Y19" s="75"/>
      <c r="Z19" s="75"/>
      <c r="AA19" s="75"/>
      <c r="AB19" s="76"/>
      <c r="AC19" s="82"/>
      <c r="AD19" s="83"/>
      <c r="AE19" s="83"/>
      <c r="AF19" s="83"/>
      <c r="AG19" s="83"/>
      <c r="AH19" s="84"/>
      <c r="AI19" s="18"/>
      <c r="AJ19" s="18"/>
      <c r="AK19" s="18"/>
      <c r="AL19" s="18"/>
      <c r="AM19" s="18"/>
      <c r="AN19" s="18"/>
    </row>
    <row r="20" spans="1:40" s="17" customFormat="1" ht="27" customHeight="1">
      <c r="A20" s="18"/>
      <c r="B20" s="79"/>
      <c r="C20" s="80"/>
      <c r="D20" s="80"/>
      <c r="E20" s="80"/>
      <c r="F20" s="80"/>
      <c r="G20" s="80"/>
      <c r="H20" s="80"/>
      <c r="I20" s="80"/>
      <c r="J20" s="81"/>
      <c r="K20" s="65"/>
      <c r="L20" s="66"/>
      <c r="M20" s="66"/>
      <c r="N20" s="67"/>
      <c r="O20" s="79"/>
      <c r="P20" s="81"/>
      <c r="Q20" s="68"/>
      <c r="R20" s="69"/>
      <c r="S20" s="69"/>
      <c r="T20" s="70"/>
      <c r="U20" s="72"/>
      <c r="V20" s="72"/>
      <c r="W20" s="73"/>
      <c r="X20" s="74">
        <f>Q20*U20</f>
        <v>0</v>
      </c>
      <c r="Y20" s="75"/>
      <c r="Z20" s="75"/>
      <c r="AA20" s="75"/>
      <c r="AB20" s="76"/>
      <c r="AC20" s="77"/>
      <c r="AD20" s="77"/>
      <c r="AE20" s="77"/>
      <c r="AF20" s="77"/>
      <c r="AG20" s="77"/>
      <c r="AH20" s="78"/>
      <c r="AI20" s="18"/>
      <c r="AJ20" s="18"/>
      <c r="AK20" s="18"/>
      <c r="AL20" s="18"/>
      <c r="AM20" s="18"/>
      <c r="AN20" s="18"/>
    </row>
    <row r="21" spans="1:40" s="17" customFormat="1" ht="27" customHeight="1">
      <c r="A21" s="18"/>
      <c r="B21" s="79"/>
      <c r="C21" s="80"/>
      <c r="D21" s="80"/>
      <c r="E21" s="80"/>
      <c r="F21" s="80"/>
      <c r="G21" s="80"/>
      <c r="H21" s="80"/>
      <c r="I21" s="80"/>
      <c r="J21" s="81"/>
      <c r="K21" s="65"/>
      <c r="L21" s="66"/>
      <c r="M21" s="66"/>
      <c r="N21" s="67"/>
      <c r="O21" s="65"/>
      <c r="P21" s="67"/>
      <c r="Q21" s="68"/>
      <c r="R21" s="69"/>
      <c r="S21" s="69"/>
      <c r="T21" s="70"/>
      <c r="U21" s="71"/>
      <c r="V21" s="72"/>
      <c r="W21" s="73"/>
      <c r="X21" s="74">
        <f t="shared" ref="X21" si="0">U21*Q21</f>
        <v>0</v>
      </c>
      <c r="Y21" s="75"/>
      <c r="Z21" s="75"/>
      <c r="AA21" s="75"/>
      <c r="AB21" s="76"/>
      <c r="AC21" s="82"/>
      <c r="AD21" s="83"/>
      <c r="AE21" s="83"/>
      <c r="AF21" s="83"/>
      <c r="AG21" s="83"/>
      <c r="AH21" s="84"/>
      <c r="AI21" s="18"/>
      <c r="AJ21" s="18"/>
      <c r="AK21" s="18"/>
      <c r="AL21" s="18"/>
      <c r="AM21" s="18"/>
      <c r="AN21" s="18"/>
    </row>
    <row r="22" spans="1:40" s="17" customFormat="1" ht="27" customHeight="1">
      <c r="A22" s="18"/>
      <c r="B22" s="79"/>
      <c r="C22" s="80"/>
      <c r="D22" s="80"/>
      <c r="E22" s="80"/>
      <c r="F22" s="80"/>
      <c r="G22" s="80"/>
      <c r="H22" s="80"/>
      <c r="I22" s="80"/>
      <c r="J22" s="81"/>
      <c r="K22" s="65"/>
      <c r="L22" s="66"/>
      <c r="M22" s="66"/>
      <c r="N22" s="67"/>
      <c r="O22" s="79"/>
      <c r="P22" s="81"/>
      <c r="Q22" s="68"/>
      <c r="R22" s="69"/>
      <c r="S22" s="69"/>
      <c r="T22" s="70"/>
      <c r="U22" s="72"/>
      <c r="V22" s="72"/>
      <c r="W22" s="73"/>
      <c r="X22" s="74">
        <f>U22*Q22</f>
        <v>0</v>
      </c>
      <c r="Y22" s="75"/>
      <c r="Z22" s="75"/>
      <c r="AA22" s="75"/>
      <c r="AB22" s="76"/>
      <c r="AC22" s="77"/>
      <c r="AD22" s="77"/>
      <c r="AE22" s="77"/>
      <c r="AF22" s="77"/>
      <c r="AG22" s="77"/>
      <c r="AH22" s="78"/>
      <c r="AI22" s="18"/>
      <c r="AJ22" s="18"/>
      <c r="AK22" s="18"/>
      <c r="AL22" s="18"/>
      <c r="AM22" s="18"/>
      <c r="AN22" s="18"/>
    </row>
    <row r="23" spans="1:40" s="17" customFormat="1" ht="27" customHeight="1">
      <c r="A23" s="18"/>
      <c r="B23" s="79"/>
      <c r="C23" s="80"/>
      <c r="D23" s="80"/>
      <c r="E23" s="80"/>
      <c r="F23" s="80"/>
      <c r="G23" s="80"/>
      <c r="H23" s="80"/>
      <c r="I23" s="80"/>
      <c r="J23" s="81"/>
      <c r="K23" s="65"/>
      <c r="L23" s="66"/>
      <c r="M23" s="66"/>
      <c r="N23" s="67"/>
      <c r="O23" s="79"/>
      <c r="P23" s="81"/>
      <c r="Q23" s="68"/>
      <c r="R23" s="69"/>
      <c r="S23" s="69"/>
      <c r="T23" s="70"/>
      <c r="U23" s="72"/>
      <c r="V23" s="72"/>
      <c r="W23" s="73"/>
      <c r="X23" s="74">
        <f>U23*Q23</f>
        <v>0</v>
      </c>
      <c r="Y23" s="75"/>
      <c r="Z23" s="75"/>
      <c r="AA23" s="75"/>
      <c r="AB23" s="76"/>
      <c r="AC23" s="77"/>
      <c r="AD23" s="77"/>
      <c r="AE23" s="77"/>
      <c r="AF23" s="77"/>
      <c r="AG23" s="77"/>
      <c r="AH23" s="78"/>
      <c r="AI23" s="18"/>
      <c r="AJ23" s="18"/>
      <c r="AK23" s="18"/>
      <c r="AL23" s="18"/>
      <c r="AM23" s="18"/>
      <c r="AN23" s="18"/>
    </row>
    <row r="24" spans="1:40" s="17" customFormat="1" ht="27" customHeight="1">
      <c r="A24" s="18"/>
      <c r="B24" s="79"/>
      <c r="C24" s="80"/>
      <c r="D24" s="80"/>
      <c r="E24" s="80"/>
      <c r="F24" s="80"/>
      <c r="G24" s="80"/>
      <c r="H24" s="80"/>
      <c r="I24" s="80"/>
      <c r="J24" s="81"/>
      <c r="K24" s="65"/>
      <c r="L24" s="66"/>
      <c r="M24" s="66"/>
      <c r="N24" s="67"/>
      <c r="O24" s="79"/>
      <c r="P24" s="81"/>
      <c r="Q24" s="68"/>
      <c r="R24" s="69"/>
      <c r="S24" s="69"/>
      <c r="T24" s="70"/>
      <c r="U24" s="72"/>
      <c r="V24" s="72"/>
      <c r="W24" s="73"/>
      <c r="X24" s="74">
        <f>U24*Q24</f>
        <v>0</v>
      </c>
      <c r="Y24" s="75"/>
      <c r="Z24" s="75"/>
      <c r="AA24" s="75"/>
      <c r="AB24" s="76"/>
      <c r="AC24" s="77"/>
      <c r="AD24" s="77"/>
      <c r="AE24" s="77"/>
      <c r="AF24" s="77"/>
      <c r="AG24" s="77"/>
      <c r="AH24" s="78"/>
      <c r="AI24" s="18"/>
      <c r="AJ24" s="18"/>
      <c r="AK24" s="18"/>
      <c r="AL24" s="18"/>
      <c r="AM24" s="18"/>
      <c r="AN24" s="18"/>
    </row>
    <row r="25" spans="1:40" s="17" customFormat="1" ht="24.75" customHeight="1">
      <c r="A25" s="18"/>
      <c r="B25" s="85" t="s">
        <v>31</v>
      </c>
      <c r="C25" s="86"/>
      <c r="D25" s="86"/>
      <c r="E25" s="86"/>
      <c r="F25" s="86"/>
      <c r="G25" s="86"/>
      <c r="H25" s="86"/>
      <c r="I25" s="86"/>
      <c r="J25" s="87"/>
      <c r="K25" s="88"/>
      <c r="L25" s="89"/>
      <c r="M25" s="89"/>
      <c r="N25" s="90"/>
      <c r="O25" s="88"/>
      <c r="P25" s="90"/>
      <c r="Q25" s="91"/>
      <c r="R25" s="92"/>
      <c r="S25" s="92"/>
      <c r="T25" s="93"/>
      <c r="U25" s="94"/>
      <c r="V25" s="94"/>
      <c r="W25" s="95"/>
      <c r="X25" s="96">
        <f>SUM(X17:X24)</f>
        <v>0</v>
      </c>
      <c r="Y25" s="97"/>
      <c r="Z25" s="97"/>
      <c r="AA25" s="97"/>
      <c r="AB25" s="98"/>
      <c r="AC25" s="99"/>
      <c r="AD25" s="99"/>
      <c r="AE25" s="99"/>
      <c r="AF25" s="99"/>
      <c r="AG25" s="99"/>
      <c r="AH25" s="100"/>
      <c r="AI25" s="18"/>
      <c r="AJ25" s="18"/>
      <c r="AK25" s="18"/>
      <c r="AL25" s="18"/>
      <c r="AM25" s="18"/>
      <c r="AN25" s="18"/>
    </row>
    <row r="26" spans="1:40" s="17" customFormat="1" ht="24.75" customHeight="1">
      <c r="A26" s="18"/>
      <c r="B26" s="101"/>
      <c r="C26" s="102"/>
      <c r="D26" s="102"/>
      <c r="E26" s="102"/>
      <c r="F26" s="102"/>
      <c r="G26" s="102"/>
      <c r="H26" s="102"/>
      <c r="I26" s="102"/>
      <c r="J26" s="103"/>
      <c r="K26" s="101"/>
      <c r="L26" s="102"/>
      <c r="M26" s="102"/>
      <c r="N26" s="103"/>
      <c r="O26" s="101"/>
      <c r="P26" s="103"/>
      <c r="Q26" s="104"/>
      <c r="R26" s="105"/>
      <c r="S26" s="105"/>
      <c r="T26" s="106"/>
      <c r="U26" s="107"/>
      <c r="V26" s="107"/>
      <c r="W26" s="108"/>
      <c r="X26" s="109"/>
      <c r="Y26" s="110"/>
      <c r="Z26" s="110"/>
      <c r="AA26" s="110"/>
      <c r="AB26" s="111"/>
      <c r="AC26" s="112"/>
      <c r="AD26" s="112"/>
      <c r="AE26" s="112"/>
      <c r="AF26" s="112"/>
      <c r="AG26" s="112"/>
      <c r="AH26" s="113"/>
      <c r="AI26" s="18"/>
      <c r="AJ26" s="18"/>
      <c r="AK26" s="18"/>
      <c r="AL26" s="18"/>
      <c r="AM26" s="18"/>
      <c r="AN26" s="18"/>
    </row>
    <row r="27" spans="1:40" s="17" customFormat="1" ht="25.5" customHeight="1">
      <c r="A27" s="18"/>
      <c r="B27" s="101"/>
      <c r="C27" s="102"/>
      <c r="D27" s="102"/>
      <c r="E27" s="102"/>
      <c r="F27" s="102"/>
      <c r="G27" s="102"/>
      <c r="H27" s="102"/>
      <c r="I27" s="102"/>
      <c r="J27" s="103"/>
      <c r="K27" s="114"/>
      <c r="L27" s="115"/>
      <c r="M27" s="115"/>
      <c r="N27" s="116"/>
      <c r="O27" s="101"/>
      <c r="P27" s="103"/>
      <c r="Q27" s="104"/>
      <c r="R27" s="105"/>
      <c r="S27" s="105"/>
      <c r="T27" s="106"/>
      <c r="U27" s="107"/>
      <c r="V27" s="107"/>
      <c r="W27" s="108"/>
      <c r="X27" s="109">
        <f t="shared" ref="X27:X28" si="1">U27*Q27</f>
        <v>0</v>
      </c>
      <c r="Y27" s="110"/>
      <c r="Z27" s="110"/>
      <c r="AA27" s="110"/>
      <c r="AB27" s="111"/>
      <c r="AC27" s="112"/>
      <c r="AD27" s="112"/>
      <c r="AE27" s="112"/>
      <c r="AF27" s="112"/>
      <c r="AG27" s="112"/>
      <c r="AH27" s="113"/>
      <c r="AI27" s="18"/>
      <c r="AJ27" s="18"/>
      <c r="AK27" s="18"/>
      <c r="AL27" s="18"/>
      <c r="AM27" s="18"/>
      <c r="AN27" s="18"/>
    </row>
    <row r="28" spans="1:40" s="17" customFormat="1" ht="22" customHeight="1">
      <c r="A28" s="18"/>
      <c r="B28" s="117"/>
      <c r="C28" s="118"/>
      <c r="D28" s="118"/>
      <c r="E28" s="118"/>
      <c r="F28" s="118"/>
      <c r="G28" s="118"/>
      <c r="H28" s="118"/>
      <c r="I28" s="118"/>
      <c r="J28" s="119"/>
      <c r="K28" s="117"/>
      <c r="L28" s="118"/>
      <c r="M28" s="118"/>
      <c r="N28" s="119"/>
      <c r="O28" s="117"/>
      <c r="P28" s="119"/>
      <c r="Q28" s="120"/>
      <c r="R28" s="121"/>
      <c r="S28" s="121"/>
      <c r="T28" s="122"/>
      <c r="U28" s="123"/>
      <c r="V28" s="123"/>
      <c r="W28" s="124"/>
      <c r="X28" s="125">
        <f t="shared" si="1"/>
        <v>0</v>
      </c>
      <c r="Y28" s="126"/>
      <c r="Z28" s="126"/>
      <c r="AA28" s="126"/>
      <c r="AB28" s="127"/>
      <c r="AC28" s="128"/>
      <c r="AD28" s="128"/>
      <c r="AE28" s="128"/>
      <c r="AF28" s="128"/>
      <c r="AG28" s="128"/>
      <c r="AH28" s="129"/>
      <c r="AI28" s="18"/>
      <c r="AJ28" s="18"/>
      <c r="AK28" s="18"/>
      <c r="AL28" s="18"/>
      <c r="AM28" s="18"/>
      <c r="AN28" s="18"/>
    </row>
    <row r="29" spans="1:40" s="17" customFormat="1" ht="22" customHeight="1">
      <c r="A29" s="18"/>
      <c r="B29" s="130" t="s">
        <v>32</v>
      </c>
      <c r="C29" s="131"/>
      <c r="D29" s="131"/>
      <c r="E29" s="131"/>
      <c r="F29" s="131"/>
      <c r="G29" s="131"/>
      <c r="H29" s="131"/>
      <c r="I29" s="131"/>
      <c r="J29" s="132"/>
      <c r="K29" s="130"/>
      <c r="L29" s="131"/>
      <c r="M29" s="131"/>
      <c r="N29" s="132"/>
      <c r="O29" s="130"/>
      <c r="P29" s="132"/>
      <c r="Q29" s="130"/>
      <c r="R29" s="131"/>
      <c r="S29" s="131"/>
      <c r="T29" s="132"/>
      <c r="U29" s="133"/>
      <c r="V29" s="133"/>
      <c r="W29" s="134"/>
      <c r="X29" s="135">
        <f>X25+X27</f>
        <v>0</v>
      </c>
      <c r="Y29" s="136"/>
      <c r="Z29" s="136"/>
      <c r="AA29" s="136"/>
      <c r="AB29" s="137"/>
      <c r="AC29" s="136"/>
      <c r="AD29" s="136"/>
      <c r="AE29" s="136"/>
      <c r="AF29" s="136"/>
      <c r="AG29" s="136"/>
      <c r="AH29" s="137"/>
      <c r="AI29" s="18"/>
      <c r="AJ29" s="18"/>
      <c r="AK29" s="18"/>
      <c r="AL29" s="18"/>
      <c r="AM29" s="18"/>
      <c r="AN29" s="18"/>
    </row>
    <row r="30" spans="1:40" s="20" customFormat="1" ht="22" customHeight="1">
      <c r="A30" s="21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1"/>
      <c r="AJ30" s="21"/>
      <c r="AK30" s="21"/>
      <c r="AL30" s="21"/>
      <c r="AM30" s="21"/>
      <c r="AN30" s="21"/>
    </row>
    <row r="31" spans="1:40" s="20" customFormat="1" ht="22" customHeight="1">
      <c r="A31" s="21"/>
      <c r="B31" s="22"/>
      <c r="C31" s="23"/>
      <c r="D31" s="23" t="s">
        <v>33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6"/>
      <c r="AI31" s="21"/>
      <c r="AJ31" s="21"/>
      <c r="AK31" s="21"/>
      <c r="AL31" s="21"/>
      <c r="AM31" s="21"/>
      <c r="AN31" s="21"/>
    </row>
    <row r="32" spans="1:40" s="20" customFormat="1" ht="22" customHeight="1">
      <c r="A32" s="21"/>
      <c r="B32" s="22"/>
      <c r="C32" s="23"/>
      <c r="D32" s="23" t="s">
        <v>34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6"/>
      <c r="AI32" s="21"/>
      <c r="AJ32" s="21"/>
      <c r="AK32" s="21"/>
      <c r="AL32" s="21"/>
      <c r="AM32" s="21"/>
      <c r="AN32" s="21"/>
    </row>
    <row r="33" spans="1:40" s="20" customFormat="1" ht="22" customHeight="1">
      <c r="A33" s="21"/>
      <c r="B33" s="22"/>
      <c r="C33" s="23"/>
      <c r="D33" s="23" t="s">
        <v>35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6"/>
      <c r="AI33" s="21"/>
      <c r="AJ33" s="21"/>
      <c r="AK33" s="21"/>
      <c r="AL33" s="21"/>
      <c r="AM33" s="21"/>
      <c r="AN33" s="21"/>
    </row>
    <row r="34" spans="1:40" ht="22" customHeight="1">
      <c r="B34" s="22"/>
      <c r="C34" s="23"/>
      <c r="D34" s="27"/>
      <c r="E34" s="2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6"/>
    </row>
    <row r="35" spans="1:40" s="28" customFormat="1" ht="22" customHeight="1">
      <c r="B35" s="138" t="s">
        <v>36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40"/>
    </row>
    <row r="36" spans="1:40" s="28" customFormat="1" ht="22" customHeight="1"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1"/>
    </row>
    <row r="37" spans="1:40" s="28" customFormat="1" ht="22" customHeight="1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/>
    </row>
    <row r="38" spans="1:40" s="28" customFormat="1" ht="22" customHeight="1">
      <c r="B38" s="141" t="s">
        <v>37</v>
      </c>
      <c r="C38" s="142"/>
      <c r="D38" s="142"/>
      <c r="E38" s="142"/>
      <c r="F38" s="142"/>
      <c r="G38" s="142"/>
      <c r="H38" s="142"/>
      <c r="I38" s="143"/>
      <c r="J38" s="32"/>
      <c r="K38" s="33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144">
        <f>X29*1.1</f>
        <v>0</v>
      </c>
      <c r="Z38" s="145"/>
      <c r="AA38" s="145"/>
      <c r="AB38" s="145"/>
      <c r="AC38" s="145"/>
      <c r="AD38" s="145"/>
      <c r="AE38" s="145"/>
      <c r="AF38" s="145"/>
      <c r="AG38" s="145"/>
      <c r="AH38" s="146"/>
    </row>
    <row r="39" spans="1:40" ht="30" customHeight="1"/>
    <row r="40" spans="1: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</sheetData>
  <mergeCells count="130">
    <mergeCell ref="B29:J29"/>
    <mergeCell ref="K29:N29"/>
    <mergeCell ref="O29:P29"/>
    <mergeCell ref="Q29:T29"/>
    <mergeCell ref="U29:W29"/>
    <mergeCell ref="X29:AB29"/>
    <mergeCell ref="AC29:AH29"/>
    <mergeCell ref="B35:AH35"/>
    <mergeCell ref="B38:I38"/>
    <mergeCell ref="Y38:AH38"/>
    <mergeCell ref="B27:J27"/>
    <mergeCell ref="K27:N27"/>
    <mergeCell ref="O27:P27"/>
    <mergeCell ref="Q27:T27"/>
    <mergeCell ref="U27:W27"/>
    <mergeCell ref="X27:AB27"/>
    <mergeCell ref="AC27:AH27"/>
    <mergeCell ref="B28:J28"/>
    <mergeCell ref="K28:N28"/>
    <mergeCell ref="O28:P28"/>
    <mergeCell ref="Q28:T28"/>
    <mergeCell ref="U28:W28"/>
    <mergeCell ref="X28:AB28"/>
    <mergeCell ref="AC28:AH28"/>
    <mergeCell ref="B25:J25"/>
    <mergeCell ref="K25:N25"/>
    <mergeCell ref="O25:P25"/>
    <mergeCell ref="Q25:T25"/>
    <mergeCell ref="U25:W25"/>
    <mergeCell ref="X25:AB25"/>
    <mergeCell ref="AC25:AH25"/>
    <mergeCell ref="B26:J26"/>
    <mergeCell ref="K26:N26"/>
    <mergeCell ref="O26:P26"/>
    <mergeCell ref="Q26:T26"/>
    <mergeCell ref="U26:W26"/>
    <mergeCell ref="X26:AB26"/>
    <mergeCell ref="AC26:AH26"/>
    <mergeCell ref="B23:J23"/>
    <mergeCell ref="K23:N23"/>
    <mergeCell ref="O23:P23"/>
    <mergeCell ref="Q23:T23"/>
    <mergeCell ref="U23:W23"/>
    <mergeCell ref="X23:AB23"/>
    <mergeCell ref="AC23:AH23"/>
    <mergeCell ref="B24:J24"/>
    <mergeCell ref="K24:N24"/>
    <mergeCell ref="O24:P24"/>
    <mergeCell ref="Q24:T24"/>
    <mergeCell ref="U24:W24"/>
    <mergeCell ref="X24:AB24"/>
    <mergeCell ref="AC24:AH24"/>
    <mergeCell ref="B21:J21"/>
    <mergeCell ref="K21:N21"/>
    <mergeCell ref="O21:P21"/>
    <mergeCell ref="Q21:T21"/>
    <mergeCell ref="U21:W21"/>
    <mergeCell ref="X21:AB21"/>
    <mergeCell ref="AC21:AH21"/>
    <mergeCell ref="B22:J22"/>
    <mergeCell ref="K22:N22"/>
    <mergeCell ref="O22:P22"/>
    <mergeCell ref="Q22:T22"/>
    <mergeCell ref="U22:W22"/>
    <mergeCell ref="X22:AB22"/>
    <mergeCell ref="AC22:AH22"/>
    <mergeCell ref="B19:J19"/>
    <mergeCell ref="K19:N19"/>
    <mergeCell ref="O19:P19"/>
    <mergeCell ref="Q19:T19"/>
    <mergeCell ref="U19:W19"/>
    <mergeCell ref="X19:AB19"/>
    <mergeCell ref="AC19:AH19"/>
    <mergeCell ref="B20:J20"/>
    <mergeCell ref="K20:N20"/>
    <mergeCell ref="O20:P20"/>
    <mergeCell ref="Q20:T20"/>
    <mergeCell ref="U20:W20"/>
    <mergeCell ref="X20:AB20"/>
    <mergeCell ref="AC20:AH20"/>
    <mergeCell ref="B17:J17"/>
    <mergeCell ref="K17:N17"/>
    <mergeCell ref="Q17:T17"/>
    <mergeCell ref="U17:W17"/>
    <mergeCell ref="X17:AB17"/>
    <mergeCell ref="AC17:AH17"/>
    <mergeCell ref="B18:J18"/>
    <mergeCell ref="K18:N18"/>
    <mergeCell ref="O18:P18"/>
    <mergeCell ref="Q18:T18"/>
    <mergeCell ref="U18:W18"/>
    <mergeCell ref="X18:AB18"/>
    <mergeCell ref="AC18:AH18"/>
    <mergeCell ref="O17:P17"/>
    <mergeCell ref="W11:AH11"/>
    <mergeCell ref="B13:K13"/>
    <mergeCell ref="B15:E15"/>
    <mergeCell ref="F15:O15"/>
    <mergeCell ref="Q15:W15"/>
    <mergeCell ref="AB15:AH15"/>
    <mergeCell ref="B16:J16"/>
    <mergeCell ref="K16:N16"/>
    <mergeCell ref="O16:P16"/>
    <mergeCell ref="Q16:T16"/>
    <mergeCell ref="U16:W16"/>
    <mergeCell ref="X16:AB16"/>
    <mergeCell ref="AC16:AH16"/>
    <mergeCell ref="B2:AH2"/>
    <mergeCell ref="B4:P5"/>
    <mergeCell ref="R4:S11"/>
    <mergeCell ref="T4:V4"/>
    <mergeCell ref="W4:AH5"/>
    <mergeCell ref="T5:V5"/>
    <mergeCell ref="T6:V6"/>
    <mergeCell ref="W6:AB6"/>
    <mergeCell ref="AC6:AH6"/>
    <mergeCell ref="B7:P8"/>
    <mergeCell ref="T7:V7"/>
    <mergeCell ref="W7:AH8"/>
    <mergeCell ref="T8:V8"/>
    <mergeCell ref="B9:P9"/>
    <mergeCell ref="T9:V9"/>
    <mergeCell ref="W9:AB9"/>
    <mergeCell ref="AC9:AH9"/>
    <mergeCell ref="B10:P10"/>
    <mergeCell ref="T10:V10"/>
    <mergeCell ref="W10:AB10"/>
    <mergeCell ref="AC10:AH10"/>
    <mergeCell ref="B11:P11"/>
    <mergeCell ref="T11:V11"/>
  </mergeCells>
  <phoneticPr fontId="15" type="noConversion"/>
  <hyperlinks>
    <hyperlink ref="W11" r:id="rId1" xr:uid="{00000000-0004-0000-0000-000000000000}"/>
  </hyperlinks>
  <printOptions horizontalCentered="1" verticalCentered="1"/>
  <pageMargins left="0.34" right="0.54" top="0.47" bottom="0.52" header="0.27559055118110237" footer="0.11811023622047245"/>
  <pageSetup paperSize="9" scale="88" orientation="portrait" useFirstPageNumber="1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7" customHeight="1"/>
  <sheetData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</vt:lpstr>
      <vt:lpstr>Sheet1</vt:lpstr>
      <vt:lpstr>견적서!Print_Area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2025-04-22T07:31:03Z</cp:lastPrinted>
  <dcterms:created xsi:type="dcterms:W3CDTF">2013-11-21T01:00:29Z</dcterms:created>
  <dcterms:modified xsi:type="dcterms:W3CDTF">2025-08-28T01:04:36Z</dcterms:modified>
</cp:coreProperties>
</file>